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Marine projects\forms\"/>
    </mc:Choice>
  </mc:AlternateContent>
  <xr:revisionPtr revIDLastSave="0" documentId="8_{446666D5-3B35-4B05-AE5D-79A1153D4A2F}" xr6:coauthVersionLast="47" xr6:coauthVersionMax="47" xr10:uidLastSave="{00000000-0000-0000-0000-000000000000}"/>
  <bookViews>
    <workbookView xWindow="28690" yWindow="-110" windowWidth="38620" windowHeight="21100" xr2:uid="{B258957C-3325-415D-94AB-AA55E9683AD9}"/>
  </bookViews>
  <sheets>
    <sheet name="hồ sơ dự tuyển" sheetId="1" r:id="rId1"/>
  </sheets>
  <definedNames>
    <definedName name="_xlnm.Print_Area" localSheetId="0">'hồ sơ dự tuyển'!$A$1:$E$81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21" i="1"/>
  <c r="C25" i="1"/>
  <c r="C18" i="1"/>
  <c r="C26" i="1"/>
  <c r="C19" i="1"/>
  <c r="C27" i="1"/>
  <c r="C22" i="1"/>
  <c r="C23" i="1"/>
  <c r="C20" i="1"/>
  <c r="C28" i="1"/>
</calcChain>
</file>

<file path=xl/sharedStrings.xml><?xml version="1.0" encoding="utf-8"?>
<sst xmlns="http://schemas.openxmlformats.org/spreadsheetml/2006/main" count="123" uniqueCount="108">
  <si>
    <t>DANH MỤC KIỂM TRA HỒ SƠ TỐI THIỂU CỦA ỨNG VIÊN DỰ TUYỂN</t>
  </si>
  <si>
    <t>STT</t>
  </si>
  <si>
    <t>Ngày</t>
  </si>
  <si>
    <t>Rank</t>
  </si>
  <si>
    <t>TT</t>
  </si>
  <si>
    <t>Nội dung kiểm tra</t>
  </si>
  <si>
    <t>Kiểm tra</t>
  </si>
  <si>
    <t>Ghi chú</t>
  </si>
  <si>
    <t>I.</t>
  </si>
  <si>
    <t>Yêu cầu chung với mọi ứng viên</t>
  </si>
  <si>
    <t>CAPT</t>
  </si>
  <si>
    <t>Bảng dữ liệu ứng viên dự tuyển</t>
  </si>
  <si>
    <t>√</t>
  </si>
  <si>
    <t>CO</t>
  </si>
  <si>
    <t xml:space="preserve">Đơn xin việc </t>
  </si>
  <si>
    <t>2O</t>
  </si>
  <si>
    <t xml:space="preserve">Sơ yếu lý lịch (có xác nhận của chính quyền địa phương)                                           </t>
  </si>
  <si>
    <t>3O</t>
  </si>
  <si>
    <t>Bằng tốt nghiệp Đại học, Cao đẳng hoặc trung, sơ cấp, bằng nghề</t>
  </si>
  <si>
    <t>BSN</t>
  </si>
  <si>
    <t>Bằng, chứng chỉ tiếng Anh hoặc các ngoại ngữ khác (nếu Có)</t>
  </si>
  <si>
    <t>CARP</t>
  </si>
  <si>
    <t xml:space="preserve">Hộ chiếu phổ thông </t>
  </si>
  <si>
    <t>AB</t>
  </si>
  <si>
    <t>Hộ chiếu thuyền viên</t>
  </si>
  <si>
    <t>OSD</t>
  </si>
  <si>
    <t>Sổ thuyền viên</t>
  </si>
  <si>
    <t>DCADET</t>
  </si>
  <si>
    <t>II.</t>
  </si>
  <si>
    <t xml:space="preserve">Giấy chứng nhận theo STCW 95 </t>
  </si>
  <si>
    <t>C.E</t>
  </si>
  <si>
    <t xml:space="preserve">Huấn luyện An toàn Cơ bản </t>
  </si>
  <si>
    <t>2E</t>
  </si>
  <si>
    <t xml:space="preserve">Giấy chứng nhận KNCM </t>
  </si>
  <si>
    <t>3E</t>
  </si>
  <si>
    <t xml:space="preserve">Cứu hoả nâng cao </t>
  </si>
  <si>
    <t>4E</t>
  </si>
  <si>
    <t xml:space="preserve">Sơ cứu / Chăm sóc y tế </t>
  </si>
  <si>
    <t>ETO</t>
  </si>
  <si>
    <t>Nghiệp vụ xuồng cứu nạn</t>
  </si>
  <si>
    <t>ELECT</t>
  </si>
  <si>
    <t>Chứng chỉ ARPA</t>
  </si>
  <si>
    <t>FTR</t>
  </si>
  <si>
    <t xml:space="preserve">Chứng chỉ đồ giải RADAR </t>
  </si>
  <si>
    <t>OLR</t>
  </si>
  <si>
    <t>Chứng chỉ Khai thác viên Tổng quát</t>
  </si>
  <si>
    <t>WPR</t>
  </si>
  <si>
    <t xml:space="preserve">Giấy xác nhận Khai thác viên tổng quát </t>
  </si>
  <si>
    <t>ENGINE CADET</t>
  </si>
  <si>
    <t xml:space="preserve">Chứng chỉ Sỹ quan An ninh </t>
  </si>
  <si>
    <t>COOK</t>
  </si>
  <si>
    <t xml:space="preserve">Chứng chỉ Hải đồ Điện tử </t>
  </si>
  <si>
    <t>MESS</t>
  </si>
  <si>
    <t xml:space="preserve">Chứng chỉ Quản lý nguồn lực buồng lái </t>
  </si>
  <si>
    <t>OSE</t>
  </si>
  <si>
    <t xml:space="preserve">Chứng chỉ Quản lý nguồn lực buồng máy </t>
  </si>
  <si>
    <t xml:space="preserve">Huấn luyện đặc biệt </t>
  </si>
  <si>
    <t xml:space="preserve">Chứng chỉ Làm quen Tàu dầu                                                                     </t>
  </si>
  <si>
    <t>Giấy xác nhận làm quen tàu dầu</t>
  </si>
  <si>
    <t xml:space="preserve">Chứng chỉ Khai thác Tàu dầu                                                                     </t>
  </si>
  <si>
    <t xml:space="preserve">Giấy xác nhận khai thác tàu dầu </t>
  </si>
  <si>
    <t xml:space="preserve">IV. </t>
  </si>
  <si>
    <t xml:space="preserve">Các Chứng chỉ khác </t>
  </si>
  <si>
    <t>Người kiểm tra hồ sơ</t>
  </si>
  <si>
    <t>(Ký &amp; ghi rõ họ tên)</t>
  </si>
  <si>
    <t xml:space="preserve">Các ứng viên phải nộp bản gốc các giấy tờ nêu trong mục I (từ tiểu mục 1 đến tiểu mục 3) và bản sao  </t>
  </si>
  <si>
    <t>có công chứng các giấy tờ (từ tiểu mục 4 đến tiểu mục 8) trong mục I</t>
  </si>
  <si>
    <t>1.</t>
  </si>
  <si>
    <t xml:space="preserve">Thuyền trưởng - Như trên, ngoại trừ tiểu mục 13 trong mục II, ngoài ra ghi bổ sung thêm vào  </t>
  </si>
  <si>
    <t>mục IV chứng chỉ khác (nếu có)</t>
  </si>
  <si>
    <t>2.</t>
  </si>
  <si>
    <t xml:space="preserve">Đại phó - Như trên, ngoại trừ tiểu mục 13 trong mục II, ngoài ra ghi bổ sung thêm vào  </t>
  </si>
  <si>
    <t>3.</t>
  </si>
  <si>
    <t>Phó 2 - Như trên, ngoại trừ tiểu mục 13 trong mục II</t>
  </si>
  <si>
    <t>4.</t>
  </si>
  <si>
    <t>Phó 3 - Như trên, ngoại trừ tiểu mục 13 trong mục II</t>
  </si>
  <si>
    <t>5.</t>
  </si>
  <si>
    <t>thêm vào mục IV chứng chỉ khác (nếu có)</t>
  </si>
  <si>
    <t>6.</t>
  </si>
  <si>
    <t>bổ sung thêm vào mục IV chứng chỉ khác (nếu có)</t>
  </si>
  <si>
    <t>7.</t>
  </si>
  <si>
    <t>8.</t>
  </si>
  <si>
    <t>9.</t>
  </si>
  <si>
    <t xml:space="preserve">Sỹ quan điện - Như trên, ngoại trừ từ tiểu mục 3 đến tiều mục 13 trong mục II và tiểu mục 3,4 </t>
  </si>
  <si>
    <t>trong mục III</t>
  </si>
  <si>
    <t>10.</t>
  </si>
  <si>
    <t xml:space="preserve">Thợ máy chính - Như trên, ngoại trừ từ tiểu mục 3 đến tiểu mục 13 trong mục II và tiểu mục 3, 4 </t>
  </si>
  <si>
    <t>11.</t>
  </si>
  <si>
    <t xml:space="preserve">Thủy thủ trưởng - Như trên, ngoại trừ tiểu mục 3, 4, 6, 7, 8, 9, 10, 11, 12, 13 trong mục II </t>
  </si>
  <si>
    <t>và tiểu mục 3, 4 trong mục III</t>
  </si>
  <si>
    <t>12.</t>
  </si>
  <si>
    <t xml:space="preserve">Thủy thủ - Như trên, ngoại trừ từ tiểu mục 3 đến tiểu mục 13 trong mục II và tiểu mục 3, 4 trong </t>
  </si>
  <si>
    <t>mục III</t>
  </si>
  <si>
    <t>13.</t>
  </si>
  <si>
    <t xml:space="preserve">Thợ máy - Như trên, ngoại trừ từ tiểu mục 3 đến tiểu mục 13 trong mục II và tiểu mục 3, 4 trong </t>
  </si>
  <si>
    <t>14.</t>
  </si>
  <si>
    <t xml:space="preserve">Bếp trưởng - Như trên, ngoại trừ từ tiểu mục 3 đến tiểu mục 13 trong mục II và tiểu mục 3, 4 trong </t>
  </si>
  <si>
    <t>15.</t>
  </si>
  <si>
    <t xml:space="preserve">Phục vụ viên - Như trên, ngoại trừ từ tiểu mục 3 đến tiểu mục 13 trong mục II và tiểu mục 3, 4 trong </t>
  </si>
  <si>
    <t>16.</t>
  </si>
  <si>
    <t xml:space="preserve">Sinh viên mới ra trường (Cadet)*- Như trên, ngoại trừ tiểu mục 7, 8 trong mục I, từ tiểu mục 3 đến </t>
  </si>
  <si>
    <t>tiểu mục 13 trong mục II và tiểu mục 3, 4 trong mục III)</t>
  </si>
  <si>
    <t>* Các sinh viên mới ra trường phải có bảng điểm xác nhận bởi phòng đào tạo của trường mình đã học</t>
  </si>
  <si>
    <t xml:space="preserve">Ghi chú: </t>
  </si>
  <si>
    <t>Các ứng viên sẽ không được xét hồ sơ để vào vòng ứng tuyển nếu thiếu bất kỳ giấy tờ nào thuộc các yêu cầu</t>
  </si>
  <si>
    <t xml:space="preserve"> trên.</t>
  </si>
  <si>
    <t>Họ tên ứng viên ĐÀO HOÀNG HIỆP</t>
  </si>
  <si>
    <t>Chức danh dự tuyển: Máy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</si>
</sst>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2A]d\ mmmm\ yyyy;@"/>
  </numFmts>
  <fonts count="18">
    <font>
      <sz val="11"/>
      <color theme="1"/>
      <name val="Calibri"/>
      <family val="2"/>
      <scheme val="minor"/>
    </font>
    <font>
      <sz val="12"/>
      <name val=".VnTime"/>
      <family val="2"/>
    </font>
    <font>
      <b/>
      <sz val="14"/>
      <name val="Times New Roman"/>
      <family val="1"/>
    </font>
    <font>
      <sz val="11"/>
      <color theme="1"/>
      <name val="Times New Roman"/>
      <family val="1"/>
    </font>
    <font>
      <sz val="11"/>
      <name val="Calibri"/>
      <family val="2"/>
      <scheme val="minor"/>
    </font>
    <font>
      <b/>
      <sz val="12"/>
      <name val="Times New Roman"/>
      <family val="1"/>
    </font>
    <font>
      <i/>
      <sz val="1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1"/>
      <name val=".VnTime"/>
      <family val="2"/>
    </font>
    <font>
      <sz val="11"/>
      <name val="Calibri"/>
      <family val="2"/>
    </font>
    <font>
      <b/>
      <sz val="12"/>
      <name val=".vntime"/>
      <family val="2"/>
    </font>
    <font>
      <i/>
      <sz val="12"/>
      <name val="Times New Roman"/>
      <family val="1"/>
    </font>
    <font>
      <b/>
      <u/>
      <sz val="12"/>
      <name val="Times New Roman"/>
      <family val="1"/>
    </font>
    <font>
      <b/>
      <i/>
      <sz val="11"/>
      <name val="Times New Roman"/>
      <family val="1"/>
    </font>
    <font>
      <b/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0" xfId="1" applyFont="1"/>
    <xf numFmtId="0" fontId="3" fillId="0" borderId="0" xfId="0" applyFont="1"/>
    <xf numFmtId="0" fontId="1" fillId="0" borderId="0" xfId="1"/>
    <xf numFmtId="0" fontId="4" fillId="2" borderId="0" xfId="0" applyFont="1" applyFill="1"/>
    <xf numFmtId="0" fontId="5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164" fontId="6" fillId="0" borderId="0" xfId="1" applyNumberFormat="1" applyFont="1" applyAlignment="1">
      <alignment horizontal="right" vertical="center"/>
    </xf>
    <xf numFmtId="164" fontId="6" fillId="0" borderId="0" xfId="1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2" fillId="0" borderId="0" xfId="1" applyFont="1" applyAlignment="1">
      <alignment horizontal="center" vertical="center"/>
    </xf>
    <xf numFmtId="0" fontId="9" fillId="0" borderId="0" xfId="1" applyFont="1"/>
    <xf numFmtId="0" fontId="1" fillId="0" borderId="0" xfId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10" fillId="2" borderId="0" xfId="0" applyFont="1" applyFill="1"/>
    <xf numFmtId="0" fontId="11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horizontal="left" vertical="center"/>
    </xf>
    <xf numFmtId="0" fontId="12" fillId="0" borderId="2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left" vertical="center"/>
    </xf>
    <xf numFmtId="0" fontId="10" fillId="0" borderId="1" xfId="1" applyFont="1" applyBorder="1" applyAlignment="1">
      <alignment horizontal="left" vertical="center" wrapText="1"/>
    </xf>
    <xf numFmtId="0" fontId="11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top"/>
    </xf>
    <xf numFmtId="0" fontId="9" fillId="3" borderId="0" xfId="1" applyFont="1" applyFill="1" applyAlignment="1">
      <alignment vertical="center"/>
    </xf>
    <xf numFmtId="0" fontId="9" fillId="3" borderId="0" xfId="1" applyFont="1" applyFill="1" applyAlignment="1">
      <alignment horizontal="center" vertical="center"/>
    </xf>
    <xf numFmtId="0" fontId="9" fillId="3" borderId="0" xfId="1" quotePrefix="1" applyFont="1" applyFill="1" applyAlignment="1">
      <alignment horizontal="center" vertical="center"/>
    </xf>
    <xf numFmtId="0" fontId="9" fillId="3" borderId="0" xfId="1" applyFont="1" applyFill="1" applyAlignment="1">
      <alignment horizontal="left" vertical="center" wrapText="1"/>
    </xf>
    <xf numFmtId="0" fontId="9" fillId="3" borderId="0" xfId="1" applyFont="1" applyFill="1" applyAlignment="1">
      <alignment horizontal="center" vertical="center" wrapText="1"/>
    </xf>
    <xf numFmtId="0" fontId="15" fillId="3" borderId="0" xfId="1" applyFont="1" applyFill="1" applyAlignment="1">
      <alignment vertical="center"/>
    </xf>
    <xf numFmtId="0" fontId="16" fillId="3" borderId="0" xfId="1" applyFont="1" applyFill="1" applyAlignment="1">
      <alignment vertical="center"/>
    </xf>
    <xf numFmtId="0" fontId="16" fillId="3" borderId="0" xfId="1" applyFont="1" applyFill="1" applyAlignment="1">
      <alignment horizontal="center" vertical="center"/>
    </xf>
    <xf numFmtId="0" fontId="17" fillId="3" borderId="0" xfId="1" applyFont="1" applyFill="1" applyAlignment="1">
      <alignment vertical="center"/>
    </xf>
    <xf numFmtId="0" fontId="9" fillId="0" borderId="0" xfId="1" applyFont="1" applyAlignment="1">
      <alignment vertical="center"/>
    </xf>
  </cellXfs>
  <cellStyles count="2">
    <cellStyle name="Normal" xfId="0" builtinId="0"/>
    <cellStyle name="Normal 2" xfId="1" xr:uid="{F0D5BA0A-0ED8-4E8C-9513-BAD3ABC112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92BD9-D843-4A1E-B18D-FFC500A25F9B}">
  <dimension ref="A1:J83"/>
  <sheetViews>
    <sheetView tabSelected="1" workbookViewId="0">
      <selection activeCell="B28" sqref="B28"/>
    </sheetView>
  </sheetViews>
  <sheetFormatPr defaultRowHeight="15.4"/>
  <cols>
    <col min="1" max="1" width="8.265625" style="3" customWidth="1"/>
    <col min="2" max="2" width="52.796875" style="3" customWidth="1"/>
    <col min="3" max="3" width="9.265625" style="13" customWidth="1"/>
    <col min="4" max="4" width="20.796875" style="13" customWidth="1"/>
    <col min="10" max="10" width="9.06640625" style="4"/>
  </cols>
  <sheetData>
    <row r="1" spans="1:10" ht="17.25">
      <c r="A1" s="1" t="s">
        <v>0</v>
      </c>
      <c r="B1" s="1"/>
      <c r="C1" s="1"/>
      <c r="D1" s="1"/>
      <c r="E1" s="1"/>
      <c r="F1" s="2" t="s">
        <v>1</v>
      </c>
      <c r="G1" s="2">
        <v>4</v>
      </c>
      <c r="H1" s="2"/>
      <c r="I1" s="3"/>
    </row>
    <row r="2" spans="1:10" ht="17.25">
      <c r="A2" s="5" t="s">
        <v>106</v>
      </c>
      <c r="B2" s="6"/>
      <c r="C2" s="7" t="s">
        <v>2</v>
      </c>
      <c r="D2" s="8">
        <v>45111</v>
      </c>
      <c r="F2" s="9" t="s">
        <v>3</v>
      </c>
      <c r="G2" s="10" t="s">
        <v>34</v>
      </c>
      <c r="H2" s="10"/>
      <c r="I2" s="3"/>
    </row>
    <row r="3" spans="1:10" ht="17.25">
      <c r="A3" s="5" t="s">
        <v>107</v>
      </c>
      <c r="B3" s="6"/>
      <c r="C3" s="11"/>
      <c r="D3" s="11"/>
    </row>
    <row r="4" spans="1:10">
      <c r="A4" s="12"/>
    </row>
    <row r="5" spans="1:10" ht="15">
      <c r="A5" s="14" t="s">
        <v>4</v>
      </c>
      <c r="B5" s="14" t="s">
        <v>5</v>
      </c>
      <c r="C5" s="14" t="s">
        <v>6</v>
      </c>
      <c r="D5" s="14" t="s">
        <v>7</v>
      </c>
    </row>
    <row r="6" spans="1:10" ht="15">
      <c r="A6" s="14" t="s">
        <v>8</v>
      </c>
      <c r="B6" s="15" t="s">
        <v>9</v>
      </c>
      <c r="C6" s="14"/>
      <c r="D6" s="14"/>
      <c r="J6" s="16" t="s">
        <v>10</v>
      </c>
    </row>
    <row r="7" spans="1:10" ht="14.25">
      <c r="A7" s="17">
        <v>1</v>
      </c>
      <c r="B7" s="18" t="s">
        <v>11</v>
      </c>
      <c r="C7" s="19" t="s">
        <v>12</v>
      </c>
      <c r="D7" s="19"/>
      <c r="J7" s="16" t="s">
        <v>13</v>
      </c>
    </row>
    <row r="8" spans="1:10" ht="14.25">
      <c r="A8" s="20">
        <v>2</v>
      </c>
      <c r="B8" s="21" t="s">
        <v>14</v>
      </c>
      <c r="C8" s="19" t="s">
        <v>12</v>
      </c>
      <c r="D8" s="19"/>
      <c r="J8" s="16" t="s">
        <v>15</v>
      </c>
    </row>
    <row r="9" spans="1:10" ht="14.25">
      <c r="A9" s="20">
        <v>3</v>
      </c>
      <c r="B9" s="22" t="s">
        <v>16</v>
      </c>
      <c r="C9" s="19" t="s">
        <v>12</v>
      </c>
      <c r="D9" s="19"/>
      <c r="J9" s="16" t="s">
        <v>17</v>
      </c>
    </row>
    <row r="10" spans="1:10" ht="14.25">
      <c r="A10" s="20">
        <v>4</v>
      </c>
      <c r="B10" s="22" t="s">
        <v>18</v>
      </c>
      <c r="C10" s="19" t="s">
        <v>12</v>
      </c>
      <c r="D10" s="19"/>
      <c r="J10" s="16" t="s">
        <v>19</v>
      </c>
    </row>
    <row r="11" spans="1:10" ht="14.25">
      <c r="A11" s="20">
        <v>5</v>
      </c>
      <c r="B11" s="22" t="s">
        <v>20</v>
      </c>
      <c r="C11" s="19" t="s">
        <v>12</v>
      </c>
      <c r="D11" s="19"/>
      <c r="J11" s="16" t="s">
        <v>21</v>
      </c>
    </row>
    <row r="12" spans="1:10" ht="14.25">
      <c r="A12" s="20">
        <v>6</v>
      </c>
      <c r="B12" s="21" t="s">
        <v>22</v>
      </c>
      <c r="C12" s="19" t="s">
        <v>12</v>
      </c>
      <c r="D12" s="19"/>
      <c r="J12" s="16" t="s">
        <v>23</v>
      </c>
    </row>
    <row r="13" spans="1:10" ht="14.25">
      <c r="A13" s="20">
        <v>7</v>
      </c>
      <c r="B13" s="21" t="s">
        <v>24</v>
      </c>
      <c r="C13" s="19" t="s">
        <v>12</v>
      </c>
      <c r="D13" s="19"/>
      <c r="J13" s="16" t="s">
        <v>25</v>
      </c>
    </row>
    <row r="14" spans="1:10" ht="14.25">
      <c r="A14" s="23">
        <v>8</v>
      </c>
      <c r="B14" s="21" t="s">
        <v>26</v>
      </c>
      <c r="C14" s="19" t="s">
        <v>12</v>
      </c>
      <c r="D14" s="19"/>
      <c r="J14" s="16" t="s">
        <v>27</v>
      </c>
    </row>
    <row r="15" spans="1:10" ht="15">
      <c r="A15" s="24" t="s">
        <v>28</v>
      </c>
      <c r="B15" s="15" t="s">
        <v>29</v>
      </c>
      <c r="C15" s="14"/>
      <c r="D15" s="14"/>
      <c r="J15" s="16" t="s">
        <v>30</v>
      </c>
    </row>
    <row r="16" spans="1:10" ht="14.25">
      <c r="A16" s="20">
        <v>1</v>
      </c>
      <c r="B16" s="21" t="s">
        <v>31</v>
      </c>
      <c r="C16" s="19" t="s">
        <v>12</v>
      </c>
      <c r="D16" s="19"/>
      <c r="J16" s="16" t="s">
        <v>32</v>
      </c>
    </row>
    <row r="17" spans="1:10" ht="14.25">
      <c r="A17" s="20">
        <v>2</v>
      </c>
      <c r="B17" s="21" t="s">
        <v>33</v>
      </c>
      <c r="C17" s="19" t="s">
        <v>12</v>
      </c>
      <c r="D17" s="19"/>
      <c r="J17" s="16" t="s">
        <v>34</v>
      </c>
    </row>
    <row r="18" spans="1:10" ht="14.25">
      <c r="A18" s="20">
        <v>3</v>
      </c>
      <c r="B18" s="21" t="s">
        <v>35</v>
      </c>
      <c r="C18" s="25" t="str">
        <f>IF(OR(G2="ETO",G2="ELECT",G2="MESS",G2="COOK",G2="OLR",G2="FTR",G2="WPR",G2="ENGINE CADET",G2="OSE",G2="OSD",G2="OS",G2="DCADET",G2="BSN",G2="CARP",G2="AB")," "," √")</f>
        <v xml:space="preserve"> √</v>
      </c>
      <c r="D18" s="25"/>
      <c r="J18" s="16" t="s">
        <v>36</v>
      </c>
    </row>
    <row r="19" spans="1:10" ht="14.25">
      <c r="A19" s="20">
        <v>4</v>
      </c>
      <c r="B19" s="21" t="s">
        <v>37</v>
      </c>
      <c r="C19" s="25" t="str">
        <f>IF(OR(G2="ETO",G2="ELECT",G2="MESS",G2="COOK",G2="OLR",G2="FTR",G2="WPR",G2="ENGINE CADET",G2="OSE",G2="OSD",G2="OS",G2="DCADET",G2="BSN",G2="CARP",G2="AB")," "," √")</f>
        <v xml:space="preserve"> √</v>
      </c>
      <c r="D19" s="25"/>
      <c r="J19" s="16" t="s">
        <v>38</v>
      </c>
    </row>
    <row r="20" spans="1:10" ht="14.25">
      <c r="A20" s="20">
        <v>5</v>
      </c>
      <c r="B20" s="21" t="s">
        <v>39</v>
      </c>
      <c r="C20" s="25" t="str">
        <f>IF(OR(G2="ETO",G2="ELECT",G2="MESS",G2="COOK",G2="OLR",G2="FTR",G2="WPR",G2="ENGINE CADET",G2="OSE",G2="OSD",G2="OS",G2="DCADET",G2="CARP",G2="AB")," "," √")</f>
        <v xml:space="preserve"> √</v>
      </c>
      <c r="D20" s="25"/>
      <c r="J20" s="16" t="s">
        <v>40</v>
      </c>
    </row>
    <row r="21" spans="1:10" ht="14.25">
      <c r="A21" s="20">
        <v>6</v>
      </c>
      <c r="B21" s="21" t="s">
        <v>41</v>
      </c>
      <c r="C21" s="25" t="str">
        <f>IF(OR(G2="ETO",G2="ELECT",G2="MESS",G2="COOK",G2="OLR",G2="FTR",G2="WPR",G2="ENGINE CADET",G2="OSE",G2="OSD",G2="OS",G2="DCADET",G2="BSN",G2="CARP",G2="AB",G2="CE",G2="2E",G2="3E",G2="4E")," "," √")</f>
        <v xml:space="preserve"> </v>
      </c>
      <c r="D21" s="25"/>
      <c r="J21" s="16" t="s">
        <v>42</v>
      </c>
    </row>
    <row r="22" spans="1:10" ht="14.25">
      <c r="A22" s="20">
        <v>7</v>
      </c>
      <c r="B22" s="21" t="s">
        <v>43</v>
      </c>
      <c r="C22" s="25" t="str">
        <f>IF(OR(G2="ETO",G2="ELECT",G2="MESS",G2="COOK",G2="OLR",G2="FTR",G2="WPR",G2="ENGINE CADET",G2="OSE",G2="OSD",G2="OS",G2="DCADET",G2="BSN",G2="CARP",G2="AB",G2="CE",G2="2E",G2="3E",G2="4E")," "," √")</f>
        <v xml:space="preserve"> </v>
      </c>
      <c r="D22" s="25"/>
      <c r="J22" s="16" t="s">
        <v>44</v>
      </c>
    </row>
    <row r="23" spans="1:10" ht="14.25">
      <c r="A23" s="20">
        <v>8</v>
      </c>
      <c r="B23" s="21" t="s">
        <v>45</v>
      </c>
      <c r="C23" s="25" t="str">
        <f>IF(OR(G2="ETO",G2="ELECT",G2="MESS",G2="COOK",G2="OLR",G2="FTR",G2="WPR",G2="ENGINE CADET",G2="OSE",G2="OSD",G2="OS",G2="DCADET",G2="BSN",G2="CARP",G2="AB",G2="CE",G2="2E",G2="3E",G2="4E")," "," √")</f>
        <v xml:space="preserve"> </v>
      </c>
      <c r="D23" s="25"/>
      <c r="J23" s="16" t="s">
        <v>46</v>
      </c>
    </row>
    <row r="24" spans="1:10" ht="14.25">
      <c r="A24" s="20">
        <v>9</v>
      </c>
      <c r="B24" s="21" t="s">
        <v>47</v>
      </c>
      <c r="C24" s="25" t="str">
        <f>IF(OR(G2="ETO",G2="ELECT",G2="MESS",G2="COOK",G2="OLR",G2="FTR",G2="WPR",G2="ENGINE CADET",G2="OSE",G2="OSD",G2="OS",G2="DCADET",G2="BSN",G2="CARP",G2="AB",G2="CE",G2="2E",G2="3E",G2="4E")," "," √")</f>
        <v xml:space="preserve"> </v>
      </c>
      <c r="D24" s="25"/>
      <c r="J24" s="16" t="s">
        <v>48</v>
      </c>
    </row>
    <row r="25" spans="1:10" ht="14.25">
      <c r="A25" s="20">
        <v>10</v>
      </c>
      <c r="B25" s="21" t="s">
        <v>49</v>
      </c>
      <c r="C25" s="25" t="str">
        <f>IF(OR(G2="ETO",G2="ELECT",G2="MESS",G2="COOK",G2="OLR",G2="FTR",G2="WPR",G2="ENGINE CADET",G2="OSE",G2="OSD",G2="OS",G2="DCADET",G2="BSN",G2="CARP",G2="AB",G2="CE",G2="2E",G2="3E",G2="4E")," "," √")</f>
        <v xml:space="preserve"> </v>
      </c>
      <c r="D25" s="25"/>
      <c r="J25" s="16" t="s">
        <v>50</v>
      </c>
    </row>
    <row r="26" spans="1:10" ht="14.25">
      <c r="A26" s="26">
        <v>11</v>
      </c>
      <c r="B26" s="21" t="s">
        <v>51</v>
      </c>
      <c r="C26" s="25" t="str">
        <f>IF(OR(G2="ETO",G2="ELECT",G2="MESS",G2="COOK",G2="OLR",G2="FTR",G2="WPR",G2="ENGINE CADET",G2="OSE",G2="OSD",G2="OS",G2="DCADET",G2="BSN",G2="CARP",G2="AB",G2="CE",G2="2E",G2="3E",G2="4E")," "," √")</f>
        <v xml:space="preserve"> </v>
      </c>
      <c r="D26" s="25"/>
      <c r="J26" s="16" t="s">
        <v>52</v>
      </c>
    </row>
    <row r="27" spans="1:10" ht="14.25">
      <c r="A27" s="26">
        <v>12</v>
      </c>
      <c r="B27" s="21" t="s">
        <v>53</v>
      </c>
      <c r="C27" s="25" t="str">
        <f>IF(OR(G2="ETO",G2="ELECT",G2="MESS",G2="COOK",G2="OLR",G2="FTR",G2="WPR",G2="ENGINE CADET",G2="OSE",G2="OSD",G2="OS",G2="DCADET",G2="BSN",G2="CARP",G2="AB",G2="CE",G2="2E",G2="3E",G2="4E")," "," √")</f>
        <v xml:space="preserve"> </v>
      </c>
      <c r="D27" s="25"/>
      <c r="J27" s="16" t="s">
        <v>54</v>
      </c>
    </row>
    <row r="28" spans="1:10" ht="14.25">
      <c r="A28" s="26">
        <v>13</v>
      </c>
      <c r="B28" s="21" t="s">
        <v>55</v>
      </c>
      <c r="C28" s="25" t="str">
        <f>IF(OR(G2="ETO",G2="ELECT",G2="MESS",G2="COOK",G2="OLR",G2="FTR",G2="WPR",G2="ENGINE CADET",G2="OSE",G2="OSD",G2="OS",G2="DCADET",G2="BSN",G2="CARP",G2="AB",G2="CAPT",G2="CO",G2="2O",G2="3O")," "," √")</f>
        <v xml:space="preserve"> √</v>
      </c>
      <c r="D28" s="25"/>
    </row>
    <row r="29" spans="1:10" ht="15">
      <c r="A29" s="14"/>
      <c r="B29" s="15" t="s">
        <v>56</v>
      </c>
      <c r="C29" s="14"/>
      <c r="D29" s="14"/>
    </row>
    <row r="30" spans="1:10" ht="14.25">
      <c r="A30" s="20">
        <v>1</v>
      </c>
      <c r="B30" s="22" t="s">
        <v>57</v>
      </c>
      <c r="C30" s="27"/>
      <c r="D30" s="27"/>
    </row>
    <row r="31" spans="1:10" ht="14.25">
      <c r="A31" s="20">
        <v>2</v>
      </c>
      <c r="B31" s="22" t="s">
        <v>58</v>
      </c>
      <c r="C31" s="27"/>
      <c r="D31" s="27"/>
    </row>
    <row r="32" spans="1:10" ht="14.25">
      <c r="A32" s="20">
        <v>3</v>
      </c>
      <c r="B32" s="22" t="s">
        <v>59</v>
      </c>
      <c r="C32" s="27"/>
      <c r="D32" s="27"/>
    </row>
    <row r="33" spans="1:4" ht="14.25">
      <c r="A33" s="20">
        <v>4</v>
      </c>
      <c r="B33" s="22" t="s">
        <v>60</v>
      </c>
      <c r="C33" s="27"/>
      <c r="D33" s="27"/>
    </row>
    <row r="34" spans="1:4" ht="15">
      <c r="A34" s="14" t="s">
        <v>61</v>
      </c>
      <c r="B34" s="15" t="s">
        <v>62</v>
      </c>
      <c r="C34" s="14"/>
      <c r="D34" s="14"/>
    </row>
    <row r="35" spans="1:4">
      <c r="A35" s="28">
        <v>1</v>
      </c>
      <c r="B35" s="29"/>
      <c r="C35" s="29"/>
      <c r="D35" s="29"/>
    </row>
    <row r="36" spans="1:4">
      <c r="A36" s="28">
        <v>2</v>
      </c>
      <c r="B36" s="29"/>
      <c r="C36" s="29"/>
      <c r="D36" s="29"/>
    </row>
    <row r="37" spans="1:4">
      <c r="A37" s="28">
        <v>3</v>
      </c>
      <c r="B37" s="29"/>
      <c r="C37" s="29"/>
      <c r="D37" s="29"/>
    </row>
    <row r="38" spans="1:4">
      <c r="A38" s="28">
        <v>4</v>
      </c>
      <c r="B38" s="29"/>
      <c r="C38" s="29"/>
      <c r="D38" s="29"/>
    </row>
    <row r="39" spans="1:4">
      <c r="A39" s="13"/>
      <c r="B39" s="30"/>
      <c r="C39" s="30"/>
      <c r="D39" s="31" t="s">
        <v>63</v>
      </c>
    </row>
    <row r="40" spans="1:4">
      <c r="A40" s="13"/>
      <c r="B40" s="30"/>
      <c r="C40" s="30"/>
      <c r="D40" s="32" t="s">
        <v>64</v>
      </c>
    </row>
    <row r="41" spans="1:4">
      <c r="A41" s="13"/>
      <c r="B41" s="30"/>
      <c r="C41" s="30"/>
      <c r="D41" s="30"/>
    </row>
    <row r="42" spans="1:4">
      <c r="A42" s="13"/>
      <c r="B42" s="30"/>
      <c r="C42" s="30"/>
      <c r="D42" s="30"/>
    </row>
    <row r="43" spans="1:4">
      <c r="A43" s="13"/>
      <c r="B43" s="30"/>
      <c r="C43" s="30"/>
      <c r="D43" s="30"/>
    </row>
    <row r="44" spans="1:4">
      <c r="A44" s="13"/>
      <c r="B44" s="30"/>
      <c r="C44" s="30"/>
      <c r="D44" s="30"/>
    </row>
    <row r="45" spans="1:4" ht="14.25">
      <c r="A45"/>
      <c r="B45"/>
      <c r="C45"/>
      <c r="D45"/>
    </row>
    <row r="46" spans="1:4">
      <c r="A46" s="33" t="s">
        <v>65</v>
      </c>
      <c r="B46" s="33"/>
      <c r="C46" s="34"/>
      <c r="D46" s="34"/>
    </row>
    <row r="47" spans="1:4">
      <c r="A47" s="33" t="s">
        <v>66</v>
      </c>
      <c r="B47" s="33"/>
      <c r="C47" s="34"/>
      <c r="D47" s="34"/>
    </row>
    <row r="48" spans="1:4" ht="14.25">
      <c r="A48"/>
      <c r="B48"/>
      <c r="C48"/>
      <c r="D48"/>
    </row>
    <row r="49" spans="1:4">
      <c r="A49" s="33"/>
      <c r="B49" s="33"/>
      <c r="C49" s="34"/>
      <c r="D49" s="34"/>
    </row>
    <row r="50" spans="1:4">
      <c r="A50" s="35" t="s">
        <v>67</v>
      </c>
      <c r="B50" s="33" t="s">
        <v>68</v>
      </c>
      <c r="C50" s="34"/>
      <c r="D50" s="34"/>
    </row>
    <row r="51" spans="1:4">
      <c r="A51" s="35"/>
      <c r="B51" s="33" t="s">
        <v>69</v>
      </c>
      <c r="C51" s="34"/>
      <c r="D51" s="34"/>
    </row>
    <row r="52" spans="1:4">
      <c r="A52" s="35" t="s">
        <v>70</v>
      </c>
      <c r="B52" s="33" t="s">
        <v>71</v>
      </c>
      <c r="C52" s="34"/>
      <c r="D52" s="34"/>
    </row>
    <row r="53" spans="1:4">
      <c r="A53" s="35"/>
      <c r="B53" s="33" t="s">
        <v>69</v>
      </c>
      <c r="C53" s="34"/>
      <c r="D53" s="34"/>
    </row>
    <row r="54" spans="1:4">
      <c r="A54" s="35" t="s">
        <v>72</v>
      </c>
      <c r="B54" s="33" t="s">
        <v>73</v>
      </c>
      <c r="C54" s="34"/>
      <c r="D54" s="34"/>
    </row>
    <row r="55" spans="1:4">
      <c r="A55" s="35" t="s">
        <v>74</v>
      </c>
      <c r="B55" s="33" t="s">
        <v>75</v>
      </c>
      <c r="C55" s="34"/>
      <c r="D55" s="34"/>
    </row>
    <row r="56" spans="1:4">
      <c r="A56" s="35" t="s">
        <v>76</v>
      </c>
      <c r="B56"/>
      <c r="C56"/>
      <c r="D56"/>
    </row>
    <row r="57" spans="1:4">
      <c r="A57" s="35"/>
      <c r="B57" s="36" t="s">
        <v>77</v>
      </c>
      <c r="C57" s="37"/>
      <c r="D57" s="37"/>
    </row>
    <row r="58" spans="1:4">
      <c r="A58" s="35" t="s">
        <v>78</v>
      </c>
      <c r="B58"/>
      <c r="C58"/>
      <c r="D58"/>
    </row>
    <row r="59" spans="1:4">
      <c r="A59" s="35"/>
      <c r="B59" s="36" t="s">
        <v>79</v>
      </c>
      <c r="C59" s="37"/>
      <c r="D59" s="37"/>
    </row>
    <row r="60" spans="1:4">
      <c r="A60" s="35" t="s">
        <v>80</v>
      </c>
      <c r="B60"/>
      <c r="C60"/>
      <c r="D60"/>
    </row>
    <row r="61" spans="1:4">
      <c r="A61" s="35" t="s">
        <v>81</v>
      </c>
      <c r="B61"/>
      <c r="C61"/>
      <c r="D61"/>
    </row>
    <row r="62" spans="1:4">
      <c r="A62" s="35" t="s">
        <v>82</v>
      </c>
      <c r="B62" s="33" t="s">
        <v>83</v>
      </c>
      <c r="C62" s="34"/>
      <c r="D62" s="34"/>
    </row>
    <row r="63" spans="1:4">
      <c r="A63" s="35"/>
      <c r="B63" s="33" t="s">
        <v>84</v>
      </c>
      <c r="C63" s="34"/>
      <c r="D63" s="34"/>
    </row>
    <row r="64" spans="1:4">
      <c r="A64" s="35" t="s">
        <v>85</v>
      </c>
      <c r="B64" s="33" t="s">
        <v>86</v>
      </c>
      <c r="C64" s="34"/>
      <c r="D64" s="34"/>
    </row>
    <row r="65" spans="1:4">
      <c r="A65" s="34"/>
      <c r="B65" s="33" t="s">
        <v>84</v>
      </c>
      <c r="C65" s="34"/>
      <c r="D65" s="34"/>
    </row>
    <row r="66" spans="1:4">
      <c r="A66" s="35" t="s">
        <v>87</v>
      </c>
      <c r="B66" s="33" t="s">
        <v>88</v>
      </c>
      <c r="C66" s="34"/>
      <c r="D66" s="34"/>
    </row>
    <row r="67" spans="1:4">
      <c r="A67" s="34"/>
      <c r="B67" s="33" t="s">
        <v>89</v>
      </c>
      <c r="C67" s="34"/>
      <c r="D67" s="34"/>
    </row>
    <row r="68" spans="1:4">
      <c r="A68" s="35" t="s">
        <v>90</v>
      </c>
      <c r="B68" s="33" t="s">
        <v>91</v>
      </c>
      <c r="C68" s="34"/>
      <c r="D68" s="34"/>
    </row>
    <row r="69" spans="1:4">
      <c r="A69" s="34"/>
      <c r="B69" s="33" t="s">
        <v>92</v>
      </c>
      <c r="C69" s="34"/>
      <c r="D69" s="34"/>
    </row>
    <row r="70" spans="1:4">
      <c r="A70" s="35" t="s">
        <v>93</v>
      </c>
      <c r="B70" s="33" t="s">
        <v>94</v>
      </c>
      <c r="C70" s="34"/>
      <c r="D70" s="34"/>
    </row>
    <row r="71" spans="1:4">
      <c r="A71" s="35"/>
      <c r="B71" s="33" t="s">
        <v>92</v>
      </c>
      <c r="C71" s="34"/>
      <c r="D71" s="34"/>
    </row>
    <row r="72" spans="1:4">
      <c r="A72" s="35" t="s">
        <v>95</v>
      </c>
      <c r="B72" s="33" t="s">
        <v>96</v>
      </c>
      <c r="C72" s="34"/>
      <c r="D72" s="34"/>
    </row>
    <row r="73" spans="1:4">
      <c r="A73" s="35"/>
      <c r="B73" s="33" t="s">
        <v>92</v>
      </c>
      <c r="C73" s="34"/>
      <c r="D73" s="34"/>
    </row>
    <row r="74" spans="1:4">
      <c r="A74" s="35" t="s">
        <v>97</v>
      </c>
      <c r="B74" s="33" t="s">
        <v>98</v>
      </c>
      <c r="C74" s="34"/>
      <c r="D74" s="34"/>
    </row>
    <row r="75" spans="1:4">
      <c r="A75" s="35"/>
      <c r="B75" s="33" t="s">
        <v>92</v>
      </c>
      <c r="C75" s="34"/>
      <c r="D75" s="34"/>
    </row>
    <row r="76" spans="1:4">
      <c r="A76" s="35" t="s">
        <v>99</v>
      </c>
      <c r="B76" s="33" t="s">
        <v>100</v>
      </c>
      <c r="C76" s="34"/>
      <c r="D76" s="34"/>
    </row>
    <row r="77" spans="1:4">
      <c r="A77" s="33"/>
      <c r="B77" s="33" t="s">
        <v>101</v>
      </c>
      <c r="C77" s="34"/>
      <c r="D77" s="34"/>
    </row>
    <row r="78" spans="1:4">
      <c r="A78" s="33"/>
      <c r="B78" s="33" t="s">
        <v>102</v>
      </c>
      <c r="C78" s="34"/>
      <c r="D78" s="34"/>
    </row>
    <row r="79" spans="1:4">
      <c r="A79" s="38" t="s">
        <v>103</v>
      </c>
      <c r="B79" s="33"/>
      <c r="C79" s="34"/>
      <c r="D79" s="34"/>
    </row>
    <row r="80" spans="1:4" ht="14.25">
      <c r="A80" s="39" t="s">
        <v>104</v>
      </c>
      <c r="B80" s="39"/>
      <c r="C80" s="40"/>
      <c r="D80" s="40"/>
    </row>
    <row r="81" spans="1:4">
      <c r="A81" s="41" t="s">
        <v>105</v>
      </c>
      <c r="B81" s="33"/>
      <c r="C81" s="34"/>
      <c r="D81" s="34"/>
    </row>
    <row r="82" spans="1:4">
      <c r="A82" s="42"/>
      <c r="B82" s="42"/>
      <c r="C82" s="31"/>
      <c r="D82" s="31"/>
    </row>
    <row r="83" spans="1:4">
      <c r="A83" s="42"/>
      <c r="B83" s="42"/>
      <c r="C83" s="31"/>
      <c r="D83" s="31"/>
    </row>
  </sheetData>
  <pageMargins left="0.7" right="0.28000000000000003" top="0.54" bottom="0.75" header="0.36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hồ sơ dự tuyển</vt:lpstr>
      <vt:lpstr>'hồ sơ dự tuyển'!Print_Area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Thanh</dc:creator>
  <cp:lastModifiedBy>Pham Thanh</cp:lastModifiedBy>
  <dcterms:created xsi:type="dcterms:W3CDTF">2026-03-15T09:34:04Z</dcterms:created>
  <dcterms:modified xsi:type="dcterms:W3CDTF">2026-05-22T03:01:58Z</dcterms:modified>
</cp:coreProperties>
</file>